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02"/>
  <workbookPr defaultThemeVersion="124226"/>
  <mc:AlternateContent xmlns:mc="http://schemas.openxmlformats.org/markup-compatibility/2006">
    <mc:Choice Requires="x15">
      <x15ac:absPath xmlns:x15ac="http://schemas.microsoft.com/office/spreadsheetml/2010/11/ac" url="H:\Mi unidad\"/>
    </mc:Choice>
  </mc:AlternateContent>
  <xr:revisionPtr revIDLastSave="67" documentId="8_{52D9CC0F-64BE-4B81-96B4-BBC48B842A22}" xr6:coauthVersionLast="47" xr6:coauthVersionMax="47" xr10:uidLastSave="{1FBEB2C1-F19C-4A9B-9911-FEAD4398CBF6}"/>
  <bookViews>
    <workbookView xWindow="28680" yWindow="-120" windowWidth="29040" windowHeight="15840" xr2:uid="{00000000-000D-0000-FFFF-FFFF00000000}"/>
  </bookViews>
  <sheets>
    <sheet name="Startup Expen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C102" i="1"/>
  <c r="C101" i="1"/>
  <c r="C79" i="1"/>
  <c r="C100" i="1"/>
  <c r="C74" i="1"/>
  <c r="C99" i="1"/>
  <c r="C58" i="1"/>
  <c r="C97" i="1"/>
  <c r="C49" i="1"/>
  <c r="C96" i="1"/>
  <c r="C41" i="1"/>
  <c r="C95" i="1"/>
  <c r="C34" i="1"/>
  <c r="C94" i="1"/>
  <c r="C24" i="1"/>
  <c r="C90" i="1"/>
  <c r="C19" i="1"/>
  <c r="C89" i="1"/>
  <c r="C88" i="1"/>
  <c r="C66" i="1"/>
  <c r="C98" i="1" s="1"/>
  <c r="C91" i="1" l="1"/>
  <c r="C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C12" authorId="0" shapeId="0" xr:uid="{00000000-0006-0000-0000-000001000000}">
      <text>
        <r>
          <rPr>
            <b/>
            <sz val="8"/>
            <color indexed="81"/>
            <rFont val="Tahoma"/>
          </rPr>
          <t>Totals are calculated automatically.</t>
        </r>
      </text>
    </comment>
    <comment ref="A36" authorId="0" shapeId="0" xr:uid="{00000000-0006-0000-0000-000002000000}">
      <text>
        <r>
          <rPr>
            <b/>
            <sz val="8"/>
            <color indexed="81"/>
            <rFont val="Tahoma"/>
          </rPr>
          <t>Remodeling expenses for leased premises.</t>
        </r>
      </text>
    </comment>
    <comment ref="A83" authorId="0" shapeId="0" xr:uid="{00000000-0006-0000-0000-000003000000}">
      <text>
        <r>
          <rPr>
            <b/>
            <sz val="8"/>
            <color indexed="81"/>
            <rFont val="Tahoma"/>
          </rPr>
          <t>This value is calculated in the 12-month cash flow spreadsheet.</t>
        </r>
      </text>
    </comment>
    <comment ref="C108" authorId="0" shapeId="0" xr:uid="{00000000-0006-0000-0000-000004000000}">
      <text>
        <r>
          <rPr>
            <b/>
            <sz val="8"/>
            <color indexed="81"/>
            <rFont val="Tahoma"/>
          </rPr>
          <t>Lower of cost or market value.</t>
        </r>
      </text>
    </comment>
  </commentList>
</comments>
</file>

<file path=xl/sharedStrings.xml><?xml version="1.0" encoding="utf-8"?>
<sst xmlns="http://schemas.openxmlformats.org/spreadsheetml/2006/main" count="100" uniqueCount="92">
  <si>
    <t>Startup Expenses</t>
  </si>
  <si>
    <t>Enter your company name here</t>
  </si>
  <si>
    <t>Sources of Capital</t>
  </si>
  <si>
    <t>Owners' Investment (name and percent ownership)</t>
  </si>
  <si>
    <t>Your name and percent ownership</t>
  </si>
  <si>
    <t>Jon Sack 10%</t>
  </si>
  <si>
    <t>Peter Land 30%</t>
  </si>
  <si>
    <t>Terry Hands 9%</t>
  </si>
  <si>
    <t>Total Investment</t>
  </si>
  <si>
    <t>Bank Loans</t>
  </si>
  <si>
    <t>JP Morgan</t>
  </si>
  <si>
    <t>Santander</t>
  </si>
  <si>
    <t>BNP Paribas</t>
  </si>
  <si>
    <t>HSBC</t>
  </si>
  <si>
    <t>Total Bank Loans</t>
  </si>
  <si>
    <t>Other Loans</t>
  </si>
  <si>
    <t>Source 1</t>
  </si>
  <si>
    <t>Source 2</t>
  </si>
  <si>
    <t>Total Other Loans</t>
  </si>
  <si>
    <t>Buildings/Real Estate</t>
  </si>
  <si>
    <t>Purchase</t>
  </si>
  <si>
    <t>Construction</t>
  </si>
  <si>
    <t>Remodeling</t>
  </si>
  <si>
    <t>Other</t>
  </si>
  <si>
    <t>Total Buildings/Real Estate</t>
  </si>
  <si>
    <t>Leasehold Improvements</t>
  </si>
  <si>
    <t>Item 1</t>
  </si>
  <si>
    <t>Item 2</t>
  </si>
  <si>
    <t>Item 3</t>
  </si>
  <si>
    <t>Item 4</t>
  </si>
  <si>
    <t>Total Leasehold Improvements</t>
  </si>
  <si>
    <t>Capital Equipment List</t>
  </si>
  <si>
    <t>Furniture</t>
  </si>
  <si>
    <t>Equipment</t>
  </si>
  <si>
    <t>Fixtures</t>
  </si>
  <si>
    <t>Machinery</t>
  </si>
  <si>
    <t>Total Capital Equipment</t>
  </si>
  <si>
    <t>Location and Admin Expenses</t>
  </si>
  <si>
    <t>Rent &amp; Related Costs</t>
  </si>
  <si>
    <t>Utility deposits</t>
  </si>
  <si>
    <t>Legal and accounting fees</t>
  </si>
  <si>
    <t>Prepaid insurance</t>
  </si>
  <si>
    <t xml:space="preserve">Pre-opening salaries </t>
  </si>
  <si>
    <t>Total Location and Admin Expenses</t>
  </si>
  <si>
    <t>Opening Inventory</t>
  </si>
  <si>
    <t>Category 1</t>
  </si>
  <si>
    <t>Category 2</t>
  </si>
  <si>
    <t>Category 3</t>
  </si>
  <si>
    <t>Category 4</t>
  </si>
  <si>
    <t>Category 5</t>
  </si>
  <si>
    <t>Total Inventory</t>
  </si>
  <si>
    <t>Advertising and Promotional Expenses</t>
  </si>
  <si>
    <t>Advertising</t>
  </si>
  <si>
    <t>Signage</t>
  </si>
  <si>
    <t>Printing</t>
  </si>
  <si>
    <t>Travel/entertainment</t>
  </si>
  <si>
    <t>Other/additional categories</t>
  </si>
  <si>
    <t>Total Advertising/Promotional Expenses</t>
  </si>
  <si>
    <t>Other Expenses</t>
  </si>
  <si>
    <t>Other expense 1</t>
  </si>
  <si>
    <t>Other expense 2</t>
  </si>
  <si>
    <t>Total Other Expenses</t>
  </si>
  <si>
    <t>Reserve for Contingencies</t>
  </si>
  <si>
    <t xml:space="preserve">Working Capital </t>
  </si>
  <si>
    <t>Summary Statement</t>
  </si>
  <si>
    <t>Owners' and other investments</t>
  </si>
  <si>
    <t>Bank loans</t>
  </si>
  <si>
    <t>Other loans</t>
  </si>
  <si>
    <t>Total Source of Funds</t>
  </si>
  <si>
    <t>Buildings/real estate</t>
  </si>
  <si>
    <t>Leasehold improvements</t>
  </si>
  <si>
    <t>Capital equipment</t>
  </si>
  <si>
    <t>Location/administration expenses</t>
  </si>
  <si>
    <t>Opening inventory</t>
  </si>
  <si>
    <t>Advertising/promotional expenses</t>
  </si>
  <si>
    <t>Other expenses</t>
  </si>
  <si>
    <t>Contingency fund</t>
  </si>
  <si>
    <t>Working capital</t>
  </si>
  <si>
    <t>Total Startup Expenses</t>
  </si>
  <si>
    <t>Security and Collateral for Loan Proposal</t>
  </si>
  <si>
    <t>Collateral for Loans</t>
  </si>
  <si>
    <t>Value</t>
  </si>
  <si>
    <t>Description</t>
  </si>
  <si>
    <t>Real estate</t>
  </si>
  <si>
    <t>Other collateral</t>
  </si>
  <si>
    <t>Owners</t>
  </si>
  <si>
    <t>Your name here</t>
  </si>
  <si>
    <t>Other owner</t>
  </si>
  <si>
    <t>Loan Guarantors (other than owners)</t>
  </si>
  <si>
    <t>Loan guarantor 1</t>
  </si>
  <si>
    <t>Loan guarantor 2</t>
  </si>
  <si>
    <t>Loan guarantor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</si>
</sst>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41" formatCode="_(* #,##0_);_(* \(#,##0\);_(* &quot;-&quot;_);_(@_)"/>
    <numFmt numFmtId="164" formatCode="&quot;$&quot;#,##0.00"/>
  </numFmts>
  <fonts count="11">
    <font>
      <sz val="10"/>
      <name val="Arial"/>
    </font>
    <font>
      <b/>
      <sz val="18"/>
      <name val="Arial"/>
      <family val="2"/>
    </font>
    <font>
      <b/>
      <i/>
      <sz val="12"/>
      <name val="Arial"/>
      <family val="2"/>
    </font>
    <font>
      <sz val="10"/>
      <name val="Arial"/>
      <family val="2"/>
    </font>
    <font>
      <b/>
      <sz val="10"/>
      <name val="Arial"/>
      <family val="2"/>
    </font>
    <font>
      <b/>
      <sz val="8"/>
      <color indexed="81"/>
      <name val="Tahoma"/>
    </font>
    <font>
      <b/>
      <u/>
      <sz val="10"/>
      <name val="Arial"/>
      <family val="2"/>
    </font>
    <font>
      <i/>
      <sz val="10"/>
      <name val="Arial"/>
      <family val="2"/>
    </font>
    <font>
      <u/>
      <sz val="10"/>
      <name val="Arial"/>
      <family val="2"/>
    </font>
    <font>
      <sz val="12"/>
      <name val="Arial"/>
      <family val="2"/>
    </font>
    <font>
      <b/>
      <sz val="16"/>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1">
    <xf numFmtId="0" fontId="0" fillId="0" borderId="0"/>
  </cellStyleXfs>
  <cellXfs count="26">
    <xf numFmtId="0" fontId="0" fillId="0" borderId="0" xfId="0"/>
    <xf numFmtId="164" fontId="3" fillId="0" borderId="0" xfId="0" applyNumberFormat="1" applyFont="1"/>
    <xf numFmtId="0" fontId="4" fillId="0" borderId="0" xfId="0" applyFont="1" applyAlignment="1">
      <alignment wrapText="1"/>
    </xf>
    <xf numFmtId="0" fontId="6" fillId="0" borderId="0" xfId="0" applyFont="1" applyAlignment="1">
      <alignment wrapText="1"/>
    </xf>
    <xf numFmtId="0" fontId="1"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applyAlignment="1" applyProtection="1">
      <alignment wrapText="1"/>
      <protection locked="0"/>
    </xf>
    <xf numFmtId="42" fontId="3" fillId="0" borderId="0" xfId="0" applyNumberFormat="1" applyFont="1" applyProtection="1">
      <protection locked="0"/>
    </xf>
    <xf numFmtId="164" fontId="3" fillId="0" borderId="0" xfId="0" applyNumberFormat="1" applyFont="1" applyProtection="1">
      <protection locked="0"/>
    </xf>
    <xf numFmtId="41" fontId="3" fillId="0" borderId="0" xfId="0" applyNumberFormat="1" applyFont="1" applyProtection="1">
      <protection locked="0"/>
    </xf>
    <xf numFmtId="42" fontId="3" fillId="0" borderId="1" xfId="0" applyNumberFormat="1" applyFont="1" applyBorder="1"/>
    <xf numFmtId="42" fontId="3" fillId="0" borderId="0" xfId="0" applyNumberFormat="1" applyFont="1"/>
    <xf numFmtId="41" fontId="3" fillId="0" borderId="0" xfId="0" applyNumberFormat="1" applyFont="1"/>
    <xf numFmtId="0" fontId="7" fillId="0" borderId="0" xfId="0" applyFont="1" applyAlignment="1">
      <alignment wrapText="1"/>
    </xf>
    <xf numFmtId="0" fontId="8" fillId="0" borderId="0" xfId="0" applyFont="1" applyAlignment="1">
      <alignment horizontal="right"/>
    </xf>
    <xf numFmtId="14" fontId="8" fillId="0" borderId="0" xfId="0" applyNumberFormat="1" applyFont="1" applyAlignment="1">
      <alignment horizontal="right"/>
    </xf>
    <xf numFmtId="0" fontId="9" fillId="0" borderId="0" xfId="0" applyFont="1"/>
    <xf numFmtId="0" fontId="6" fillId="0" borderId="0" xfId="0" applyFont="1"/>
    <xf numFmtId="0" fontId="4" fillId="0" borderId="0" xfId="0" applyFont="1" applyAlignment="1">
      <alignment horizontal="right" wrapText="1"/>
    </xf>
    <xf numFmtId="0" fontId="4" fillId="0" borderId="0" xfId="0" applyFont="1" applyAlignment="1">
      <alignment horizontal="left" wrapText="1"/>
    </xf>
    <xf numFmtId="0" fontId="3" fillId="0" borderId="0" xfId="0" applyFont="1" applyAlignment="1">
      <alignment vertical="center" wrapText="1"/>
    </xf>
    <xf numFmtId="42" fontId="3" fillId="0" borderId="0" xfId="0" applyNumberFormat="1" applyFont="1" applyAlignment="1">
      <alignment vertical="center" wrapText="1"/>
    </xf>
    <xf numFmtId="41" fontId="3" fillId="0" borderId="0" xfId="0" applyNumberFormat="1" applyFont="1" applyAlignment="1">
      <alignment vertical="center"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901065</xdr:colOff>
      <xdr:row>4</xdr:row>
      <xdr:rowOff>60961</xdr:rowOff>
    </xdr:from>
    <xdr:to>
      <xdr:col>9</xdr:col>
      <xdr:colOff>33885</xdr:colOff>
      <xdr:row>24</xdr:row>
      <xdr:rowOff>142875</xdr:rowOff>
    </xdr:to>
    <xdr:sp macro="" textlink="">
      <xdr:nvSpPr>
        <xdr:cNvPr id="1031" name="Text Box 7">
          <a:extLst>
            <a:ext uri="{FF2B5EF4-FFF2-40B4-BE49-F238E27FC236}">
              <a16:creationId xmlns:a16="http://schemas.microsoft.com/office/drawing/2014/main" id="{00000000-0008-0000-0000-000007040000}"/>
            </a:ext>
          </a:extLst>
        </xdr:cNvPr>
        <xdr:cNvSpPr txBox="1">
          <a:spLocks noChangeArrowheads="1"/>
        </xdr:cNvSpPr>
      </xdr:nvSpPr>
      <xdr:spPr bwMode="auto">
        <a:xfrm>
          <a:off x="4892040" y="975361"/>
          <a:ext cx="4531360" cy="367284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800" b="1" i="0" u="none" strike="noStrike" baseline="0">
              <a:solidFill>
                <a:srgbClr val="000000"/>
              </a:solidFill>
              <a:latin typeface="Arial"/>
              <a:cs typeface="Arial"/>
            </a:rPr>
            <a:t>Notes on Preparation</a:t>
          </a:r>
          <a:endParaRPr lang="en-US" sz="800" b="0" i="0" u="none" strike="noStrike" baseline="0">
            <a:solidFill>
              <a:srgbClr val="000000"/>
            </a:solidFill>
            <a:latin typeface="Arial"/>
            <a:cs typeface="Arial"/>
          </a:endParaRPr>
        </a:p>
        <a:p>
          <a:pPr algn="l" rtl="0">
            <a:defRPr sz="1000"/>
          </a:pPr>
          <a:r>
            <a:rPr lang="en-US" sz="800" b="1" i="0" u="none" strike="noStrike" baseline="0">
              <a:solidFill>
                <a:srgbClr val="000000"/>
              </a:solidFill>
              <a:latin typeface="Arial"/>
              <a:cs typeface="Arial"/>
            </a:rPr>
            <a:t>Note:</a:t>
          </a:r>
          <a:r>
            <a:rPr lang="en-US" sz="800" b="0" i="0" u="none" strike="noStrike" baseline="0">
              <a:solidFill>
                <a:srgbClr val="000000"/>
              </a:solidFill>
              <a:latin typeface="Arial"/>
              <a:cs typeface="Arial"/>
            </a:rPr>
            <a:t> You may want to print this information to use as reference later.To delete these instructions, click the border of this text box and then press the DELETE key.</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Nearly everyone who has ever started a business has underestimated the costs, and then faced the danger of running with inadequate capital reserves.  The key to avoiding this pitfall is to adopt a rigorous approach to your research and planning.</a:t>
          </a:r>
        </a:p>
        <a:p>
          <a:pPr algn="l" rtl="0">
            <a:defRPr sz="1000"/>
          </a:pPr>
          <a:r>
            <a:rPr lang="en-US" sz="800" b="0" i="0" u="none" strike="noStrike" baseline="0">
              <a:solidFill>
                <a:srgbClr val="000000"/>
              </a:solidFill>
              <a:latin typeface="Arial"/>
              <a:cs typeface="Arial"/>
            </a:rPr>
            <a:t>Our Startup Expenses worksheet will lead you through the process.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EXPENSES - Begin by estimating expenses.  What will it cost you to get your business up and running?  The key to accuracy here is attention to detail. For each category of expense, draw up a list of everything you will need to purchase. This will include both tangible assets (for example, equipment, inventory) and services (for example, remodeling, insurance). Then determine where you might purchase these goods or services. Research more than one vendor; i.e.: comparison shop.  Do not look at price alone; terms of payment, delivery, reliability, and service are also important. </a:t>
          </a:r>
        </a:p>
        <a:p>
          <a:pPr algn="l" rtl="0">
            <a:defRPr sz="1000"/>
          </a:pPr>
          <a:r>
            <a:rPr lang="en-US" sz="800" b="0" i="0" u="none" strike="noStrike" baseline="0">
              <a:solidFill>
                <a:srgbClr val="000000"/>
              </a:solidFill>
              <a:latin typeface="Arial"/>
              <a:cs typeface="Arial"/>
            </a:rPr>
            <a:t>CONTINGENCIES - Add a reserve for contingencies.  Be sure to explain in your narrative how you decided on the amount you are putting into this reserve. </a:t>
          </a:r>
        </a:p>
        <a:p>
          <a:pPr algn="l" rtl="0">
            <a:defRPr sz="1000"/>
          </a:pPr>
          <a:r>
            <a:rPr lang="en-US" sz="800" b="0" i="0" u="none" strike="noStrike" baseline="0">
              <a:solidFill>
                <a:srgbClr val="000000"/>
              </a:solidFill>
              <a:latin typeface="Arial"/>
              <a:cs typeface="Arial"/>
            </a:rPr>
            <a:t>WORKING CAPITAL - You cannot open with an empty bank account. You need a cash cushion to meet expenses while the business gets going. Eventually you should do a 12-month cash flow projection. This is where you will work out your estimate of working capital needs. For now, either leave this line blank or put in your best rough guess. After you have done your cash flow, you can come back and enter the carefully researched figure.</a:t>
          </a:r>
        </a:p>
        <a:p>
          <a:pPr algn="l" rtl="0">
            <a:lnSpc>
              <a:spcPts val="800"/>
            </a:lnSpc>
            <a:defRPr sz="1000"/>
          </a:pPr>
          <a:r>
            <a:rPr lang="en-US" sz="800" b="0" i="0" u="none" strike="noStrike" baseline="0">
              <a:solidFill>
                <a:srgbClr val="000000"/>
              </a:solidFill>
              <a:latin typeface="Arial"/>
              <a:cs typeface="Arial"/>
            </a:rPr>
            <a:t>SOURCES - Now that you have estimated how much capital will be needed to start, you should turn your attention to the top part of this worksheet. Enter the amounts you will put in yourself, how much will be injected by partners or investors, and how much will be supplied by borrowing.</a:t>
          </a:r>
        </a:p>
        <a:p>
          <a:pPr algn="l" rtl="0">
            <a:lnSpc>
              <a:spcPts val="800"/>
            </a:lnSpc>
            <a:defRPr sz="1000"/>
          </a:pPr>
          <a:r>
            <a:rPr lang="en-US" sz="800" b="0" i="0" u="none" strike="noStrike" baseline="0">
              <a:solidFill>
                <a:srgbClr val="000000"/>
              </a:solidFill>
              <a:latin typeface="Arial"/>
              <a:cs typeface="Arial"/>
            </a:rPr>
            <a:t>COLLATERAL - If you will be using this plan to support a bank loan request, use the section near the bottom to show what assets are offered as collateral to secure the loan, and give your estimate of the value of these items.  Be prepared to offer some proof of your estimates of collateral values.</a:t>
          </a:r>
        </a:p>
        <a:p>
          <a:pPr algn="l" rtl="0">
            <a:defRPr sz="1000"/>
          </a:pPr>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
  <sheetViews>
    <sheetView showGridLines="0" tabSelected="1" topLeftCell="A50" zoomScale="90" zoomScaleNormal="90" workbookViewId="0">
      <selection activeCell="C10" sqref="C10"/>
    </sheetView>
  </sheetViews>
  <sheetFormatPr defaultColWidth="9.140625" defaultRowHeight="12.75"/>
  <cols>
    <col min="1" max="1" width="36" style="5" customWidth="1"/>
    <col min="2" max="2" width="3.7109375" style="5" customWidth="1"/>
    <col min="3" max="3" width="14" style="5" customWidth="1"/>
    <col min="4" max="4" width="4.140625" style="5" customWidth="1"/>
    <col min="5" max="5" width="28" style="5" customWidth="1"/>
    <col min="6" max="6" width="22.28515625" style="5" customWidth="1"/>
    <col min="7" max="7" width="10.42578125" style="5" customWidth="1"/>
    <col min="8" max="16384" width="9.140625" style="5"/>
  </cols>
  <sheetData>
    <row r="1" spans="1:4" ht="23.25">
      <c r="A1" s="25" t="s">
        <v>0</v>
      </c>
      <c r="B1" s="4"/>
    </row>
    <row r="2" spans="1:4" ht="23.25">
      <c r="A2" s="18" t="s">
        <v>1</v>
      </c>
      <c r="B2" s="4"/>
    </row>
    <row r="3" spans="1:4" ht="13.5" customHeight="1">
      <c r="A3" s="18"/>
      <c r="B3" s="4"/>
    </row>
    <row r="5" spans="1:4" ht="15">
      <c r="A5" s="6" t="s">
        <v>2</v>
      </c>
      <c r="B5" s="6"/>
    </row>
    <row r="6" spans="1:4">
      <c r="A6" s="7"/>
      <c r="B6" s="7"/>
    </row>
    <row r="7" spans="1:4" ht="25.5">
      <c r="A7" s="3" t="s">
        <v>3</v>
      </c>
      <c r="B7" s="3"/>
    </row>
    <row r="8" spans="1:4">
      <c r="A8" s="8" t="s">
        <v>4</v>
      </c>
      <c r="B8" s="8"/>
      <c r="C8" s="9"/>
      <c r="D8" s="10"/>
    </row>
    <row r="9" spans="1:4">
      <c r="A9" s="8" t="s">
        <v>5</v>
      </c>
      <c r="B9" s="8"/>
      <c r="C9" s="11">
        <v>900000</v>
      </c>
      <c r="D9" s="10"/>
    </row>
    <row r="10" spans="1:4">
      <c r="A10" s="8" t="s">
        <v>6</v>
      </c>
      <c r="B10" s="8"/>
      <c r="C10" s="11">
        <v>8000</v>
      </c>
      <c r="D10" s="10"/>
    </row>
    <row r="11" spans="1:4">
      <c r="A11" s="8" t="s">
        <v>7</v>
      </c>
      <c r="B11" s="8"/>
      <c r="C11" s="11">
        <v>35000</v>
      </c>
      <c r="D11" s="10"/>
    </row>
    <row r="12" spans="1:4">
      <c r="A12" s="2" t="s">
        <v>8</v>
      </c>
      <c r="B12" s="2"/>
      <c r="C12" s="12">
        <f>SUM(C8:C11)</f>
        <v>943000</v>
      </c>
      <c r="D12" s="1"/>
    </row>
    <row r="13" spans="1:4">
      <c r="A13" s="7"/>
      <c r="B13" s="7"/>
    </row>
    <row r="14" spans="1:4">
      <c r="A14" s="3" t="s">
        <v>9</v>
      </c>
      <c r="B14" s="2"/>
    </row>
    <row r="15" spans="1:4">
      <c r="A15" s="7" t="s">
        <v>10</v>
      </c>
      <c r="B15" s="7"/>
      <c r="C15" s="13">
        <v>20000</v>
      </c>
      <c r="D15" s="1"/>
    </row>
    <row r="16" spans="1:4">
      <c r="A16" s="7" t="s">
        <v>11</v>
      </c>
      <c r="B16" s="7"/>
      <c r="C16" s="14">
        <v>15000</v>
      </c>
      <c r="D16" s="1"/>
    </row>
    <row r="17" spans="1:4">
      <c r="A17" s="7" t="s">
        <v>12</v>
      </c>
      <c r="B17" s="7"/>
      <c r="C17" s="14">
        <v>30000</v>
      </c>
      <c r="D17" s="1"/>
    </row>
    <row r="18" spans="1:4">
      <c r="A18" s="7" t="s">
        <v>13</v>
      </c>
      <c r="B18" s="7"/>
      <c r="C18" s="14">
        <v>80000</v>
      </c>
      <c r="D18" s="1"/>
    </row>
    <row r="19" spans="1:4">
      <c r="A19" s="2" t="s">
        <v>14</v>
      </c>
      <c r="B19" s="2"/>
      <c r="C19" s="12">
        <f>SUM(C15:C18)</f>
        <v>145000</v>
      </c>
      <c r="D19" s="1"/>
    </row>
    <row r="20" spans="1:4">
      <c r="A20" s="7"/>
      <c r="B20" s="7"/>
    </row>
    <row r="21" spans="1:4">
      <c r="A21" s="3" t="s">
        <v>15</v>
      </c>
      <c r="B21" s="2"/>
    </row>
    <row r="22" spans="1:4">
      <c r="A22" s="7" t="s">
        <v>16</v>
      </c>
      <c r="B22" s="7"/>
      <c r="C22" s="13">
        <v>20000</v>
      </c>
      <c r="D22" s="1"/>
    </row>
    <row r="23" spans="1:4">
      <c r="A23" s="7" t="s">
        <v>17</v>
      </c>
      <c r="B23" s="7"/>
      <c r="C23" s="14">
        <v>0</v>
      </c>
      <c r="D23" s="1"/>
    </row>
    <row r="24" spans="1:4">
      <c r="A24" s="2" t="s">
        <v>18</v>
      </c>
      <c r="B24" s="2"/>
      <c r="C24" s="12">
        <f>SUM(C22:C23)</f>
        <v>20000</v>
      </c>
      <c r="D24" s="1"/>
    </row>
    <row r="25" spans="1:4">
      <c r="A25" s="2"/>
      <c r="B25" s="2"/>
      <c r="C25" s="13"/>
      <c r="D25" s="1"/>
    </row>
    <row r="26" spans="1:4">
      <c r="A26" s="7"/>
      <c r="B26" s="7"/>
    </row>
    <row r="27" spans="1:4" ht="15">
      <c r="A27" s="6" t="s">
        <v>0</v>
      </c>
      <c r="B27" s="6"/>
    </row>
    <row r="28" spans="1:4">
      <c r="A28" s="7"/>
      <c r="B28" s="7"/>
    </row>
    <row r="29" spans="1:4">
      <c r="A29" s="3" t="s">
        <v>19</v>
      </c>
      <c r="B29" s="2"/>
    </row>
    <row r="30" spans="1:4">
      <c r="A30" s="7" t="s">
        <v>20</v>
      </c>
      <c r="B30" s="7"/>
      <c r="C30" s="13">
        <v>100000</v>
      </c>
    </row>
    <row r="31" spans="1:4">
      <c r="A31" s="7" t="s">
        <v>21</v>
      </c>
      <c r="B31" s="7"/>
      <c r="C31" s="14">
        <v>10000</v>
      </c>
    </row>
    <row r="32" spans="1:4">
      <c r="A32" s="7" t="s">
        <v>22</v>
      </c>
      <c r="B32" s="7"/>
      <c r="C32" s="14">
        <v>20000</v>
      </c>
    </row>
    <row r="33" spans="1:3">
      <c r="A33" s="7" t="s">
        <v>23</v>
      </c>
      <c r="B33" s="7"/>
      <c r="C33" s="14">
        <v>1000</v>
      </c>
    </row>
    <row r="34" spans="1:3">
      <c r="A34" s="2" t="s">
        <v>24</v>
      </c>
      <c r="B34" s="2"/>
      <c r="C34" s="12">
        <f>SUM(C30:C33)</f>
        <v>131000</v>
      </c>
    </row>
    <row r="35" spans="1:3">
      <c r="A35" s="7"/>
      <c r="B35" s="7"/>
    </row>
    <row r="36" spans="1:3">
      <c r="A36" s="3" t="s">
        <v>25</v>
      </c>
      <c r="B36" s="2"/>
    </row>
    <row r="37" spans="1:3">
      <c r="A37" s="7" t="s">
        <v>26</v>
      </c>
      <c r="B37" s="7"/>
      <c r="C37" s="13">
        <v>9000</v>
      </c>
    </row>
    <row r="38" spans="1:3">
      <c r="A38" s="7" t="s">
        <v>27</v>
      </c>
      <c r="B38" s="7"/>
      <c r="C38" s="14">
        <v>8000</v>
      </c>
    </row>
    <row r="39" spans="1:3">
      <c r="A39" s="7" t="s">
        <v>28</v>
      </c>
      <c r="B39" s="7"/>
      <c r="C39" s="14">
        <v>5000</v>
      </c>
    </row>
    <row r="40" spans="1:3">
      <c r="A40" s="7" t="s">
        <v>29</v>
      </c>
      <c r="B40" s="7"/>
      <c r="C40" s="14">
        <v>0</v>
      </c>
    </row>
    <row r="41" spans="1:3">
      <c r="A41" s="2" t="s">
        <v>30</v>
      </c>
      <c r="B41" s="2"/>
      <c r="C41" s="12">
        <f>SUM(C37:C40)</f>
        <v>22000</v>
      </c>
    </row>
    <row r="42" spans="1:3">
      <c r="A42" s="7"/>
      <c r="B42" s="7"/>
    </row>
    <row r="43" spans="1:3">
      <c r="A43" s="3" t="s">
        <v>31</v>
      </c>
      <c r="B43" s="2"/>
    </row>
    <row r="44" spans="1:3">
      <c r="A44" s="7" t="s">
        <v>32</v>
      </c>
      <c r="B44" s="7"/>
      <c r="C44" s="13">
        <v>70000</v>
      </c>
    </row>
    <row r="45" spans="1:3">
      <c r="A45" s="7" t="s">
        <v>33</v>
      </c>
      <c r="B45" s="7"/>
      <c r="C45" s="14">
        <v>5000</v>
      </c>
    </row>
    <row r="46" spans="1:3">
      <c r="A46" s="7" t="s">
        <v>34</v>
      </c>
      <c r="B46" s="7"/>
      <c r="C46" s="14">
        <v>4000</v>
      </c>
    </row>
    <row r="47" spans="1:3">
      <c r="A47" s="7" t="s">
        <v>35</v>
      </c>
      <c r="B47" s="7"/>
      <c r="C47" s="14">
        <v>10000</v>
      </c>
    </row>
    <row r="48" spans="1:3">
      <c r="A48" s="7" t="s">
        <v>23</v>
      </c>
      <c r="B48" s="7"/>
      <c r="C48" s="14">
        <v>500</v>
      </c>
    </row>
    <row r="49" spans="1:3">
      <c r="A49" s="2" t="s">
        <v>36</v>
      </c>
      <c r="B49" s="2"/>
      <c r="C49" s="12">
        <f>SUM(C44:C48)</f>
        <v>89500</v>
      </c>
    </row>
    <row r="50" spans="1:3">
      <c r="A50" s="7"/>
      <c r="B50" s="7"/>
    </row>
    <row r="51" spans="1:3">
      <c r="A51" s="3" t="s">
        <v>37</v>
      </c>
      <c r="B51" s="2"/>
    </row>
    <row r="52" spans="1:3">
      <c r="A52" s="7" t="s">
        <v>38</v>
      </c>
      <c r="B52" s="7"/>
      <c r="C52" s="13">
        <v>20000</v>
      </c>
    </row>
    <row r="53" spans="1:3">
      <c r="A53" s="7" t="s">
        <v>39</v>
      </c>
      <c r="B53" s="7"/>
      <c r="C53" s="14">
        <v>20000</v>
      </c>
    </row>
    <row r="54" spans="1:3">
      <c r="A54" s="7" t="s">
        <v>40</v>
      </c>
      <c r="B54" s="7"/>
      <c r="C54" s="14">
        <v>5000</v>
      </c>
    </row>
    <row r="55" spans="1:3">
      <c r="A55" s="7" t="s">
        <v>41</v>
      </c>
      <c r="B55" s="7"/>
      <c r="C55" s="14">
        <v>9000</v>
      </c>
    </row>
    <row r="56" spans="1:3">
      <c r="A56" s="7" t="s">
        <v>42</v>
      </c>
      <c r="B56" s="7"/>
      <c r="C56" s="14">
        <v>8000</v>
      </c>
    </row>
    <row r="57" spans="1:3">
      <c r="A57" s="7" t="s">
        <v>23</v>
      </c>
      <c r="B57" s="7"/>
      <c r="C57" s="14">
        <v>7000</v>
      </c>
    </row>
    <row r="58" spans="1:3">
      <c r="A58" s="2" t="s">
        <v>43</v>
      </c>
      <c r="B58" s="2"/>
      <c r="C58" s="12">
        <f>SUM(C52:C57)</f>
        <v>69000</v>
      </c>
    </row>
    <row r="59" spans="1:3">
      <c r="A59" s="7"/>
      <c r="B59" s="7"/>
    </row>
    <row r="60" spans="1:3">
      <c r="A60" s="3" t="s">
        <v>44</v>
      </c>
      <c r="B60" s="2"/>
    </row>
    <row r="61" spans="1:3">
      <c r="A61" s="7" t="s">
        <v>45</v>
      </c>
      <c r="B61" s="7"/>
      <c r="C61" s="13">
        <v>100000</v>
      </c>
    </row>
    <row r="62" spans="1:3">
      <c r="A62" s="7" t="s">
        <v>46</v>
      </c>
      <c r="B62" s="7"/>
      <c r="C62" s="14">
        <v>100000</v>
      </c>
    </row>
    <row r="63" spans="1:3">
      <c r="A63" s="7" t="s">
        <v>47</v>
      </c>
      <c r="B63" s="7"/>
      <c r="C63" s="14">
        <v>100000</v>
      </c>
    </row>
    <row r="64" spans="1:3">
      <c r="A64" s="7" t="s">
        <v>48</v>
      </c>
      <c r="B64" s="7"/>
      <c r="C64" s="14">
        <v>100000</v>
      </c>
    </row>
    <row r="65" spans="1:3">
      <c r="A65" s="7" t="s">
        <v>49</v>
      </c>
      <c r="B65" s="7"/>
      <c r="C65" s="14">
        <v>100000</v>
      </c>
    </row>
    <row r="66" spans="1:3">
      <c r="A66" s="2" t="s">
        <v>50</v>
      </c>
      <c r="B66" s="2"/>
      <c r="C66" s="12">
        <f>SUM(C61:C65)</f>
        <v>500000</v>
      </c>
    </row>
    <row r="67" spans="1:3">
      <c r="A67" s="7"/>
      <c r="B67" s="7"/>
    </row>
    <row r="68" spans="1:3" ht="25.5">
      <c r="A68" s="3" t="s">
        <v>51</v>
      </c>
      <c r="B68" s="2"/>
    </row>
    <row r="69" spans="1:3">
      <c r="A69" s="7" t="s">
        <v>52</v>
      </c>
      <c r="B69" s="7"/>
      <c r="C69" s="13">
        <v>20000</v>
      </c>
    </row>
    <row r="70" spans="1:3">
      <c r="A70" s="7" t="s">
        <v>53</v>
      </c>
      <c r="B70" s="7"/>
      <c r="C70" s="14">
        <v>20000</v>
      </c>
    </row>
    <row r="71" spans="1:3">
      <c r="A71" s="7" t="s">
        <v>54</v>
      </c>
      <c r="B71" s="7"/>
      <c r="C71" s="14">
        <v>10000</v>
      </c>
    </row>
    <row r="72" spans="1:3">
      <c r="A72" s="7" t="s">
        <v>55</v>
      </c>
      <c r="B72" s="7"/>
      <c r="C72" s="14">
        <v>1000</v>
      </c>
    </row>
    <row r="73" spans="1:3">
      <c r="A73" s="7" t="s">
        <v>56</v>
      </c>
      <c r="B73" s="7"/>
      <c r="C73" s="14">
        <v>1000</v>
      </c>
    </row>
    <row r="74" spans="1:3" ht="25.5">
      <c r="A74" s="2" t="s">
        <v>57</v>
      </c>
      <c r="B74" s="2"/>
      <c r="C74" s="12">
        <f>SUM(C69:C73)</f>
        <v>52000</v>
      </c>
    </row>
    <row r="75" spans="1:3">
      <c r="A75" s="7"/>
      <c r="B75" s="7"/>
    </row>
    <row r="76" spans="1:3">
      <c r="A76" s="3" t="s">
        <v>58</v>
      </c>
      <c r="B76" s="2"/>
    </row>
    <row r="77" spans="1:3">
      <c r="A77" s="7" t="s">
        <v>59</v>
      </c>
      <c r="B77" s="7"/>
      <c r="C77" s="13">
        <v>20000</v>
      </c>
    </row>
    <row r="78" spans="1:3">
      <c r="A78" s="7" t="s">
        <v>60</v>
      </c>
      <c r="B78" s="7"/>
      <c r="C78" s="14">
        <v>20000</v>
      </c>
    </row>
    <row r="79" spans="1:3">
      <c r="A79" s="2" t="s">
        <v>61</v>
      </c>
      <c r="B79" s="2"/>
      <c r="C79" s="12">
        <f>SUM(C77:C78)</f>
        <v>40000</v>
      </c>
    </row>
    <row r="80" spans="1:3">
      <c r="A80" s="7"/>
      <c r="B80" s="7"/>
    </row>
    <row r="81" spans="1:3">
      <c r="A81" s="3" t="s">
        <v>62</v>
      </c>
      <c r="B81" s="2"/>
      <c r="C81" s="13">
        <v>5000</v>
      </c>
    </row>
    <row r="82" spans="1:3">
      <c r="A82" s="7"/>
      <c r="B82" s="7"/>
    </row>
    <row r="83" spans="1:3">
      <c r="A83" s="3" t="s">
        <v>63</v>
      </c>
      <c r="B83" s="2"/>
      <c r="C83" s="13">
        <v>10000</v>
      </c>
    </row>
    <row r="84" spans="1:3">
      <c r="A84" s="3"/>
      <c r="B84" s="2"/>
      <c r="C84" s="13"/>
    </row>
    <row r="85" spans="1:3" ht="15">
      <c r="A85" s="6" t="s">
        <v>64</v>
      </c>
      <c r="B85" s="7"/>
    </row>
    <row r="86" spans="1:3">
      <c r="A86" s="7"/>
      <c r="B86" s="7"/>
    </row>
    <row r="87" spans="1:3">
      <c r="A87" s="3" t="s">
        <v>2</v>
      </c>
      <c r="B87" s="7"/>
    </row>
    <row r="88" spans="1:3">
      <c r="A88" s="7" t="s">
        <v>65</v>
      </c>
      <c r="B88" s="7"/>
      <c r="C88" s="13">
        <f>C12</f>
        <v>943000</v>
      </c>
    </row>
    <row r="89" spans="1:3">
      <c r="A89" s="7" t="s">
        <v>66</v>
      </c>
      <c r="B89" s="7"/>
      <c r="C89" s="14">
        <f>C19</f>
        <v>145000</v>
      </c>
    </row>
    <row r="90" spans="1:3">
      <c r="A90" s="7" t="s">
        <v>67</v>
      </c>
      <c r="B90" s="7"/>
      <c r="C90" s="14">
        <f>C24</f>
        <v>20000</v>
      </c>
    </row>
    <row r="91" spans="1:3">
      <c r="A91" s="2" t="s">
        <v>68</v>
      </c>
      <c r="B91" s="7"/>
      <c r="C91" s="12">
        <f>SUM(C88:C90)</f>
        <v>1108000</v>
      </c>
    </row>
    <row r="92" spans="1:3">
      <c r="A92" s="7"/>
      <c r="B92" s="7"/>
    </row>
    <row r="93" spans="1:3">
      <c r="A93" s="3" t="s">
        <v>0</v>
      </c>
      <c r="B93" s="7"/>
    </row>
    <row r="94" spans="1:3">
      <c r="A94" s="7" t="s">
        <v>69</v>
      </c>
      <c r="B94" s="7"/>
      <c r="C94" s="13">
        <f>C34</f>
        <v>131000</v>
      </c>
    </row>
    <row r="95" spans="1:3">
      <c r="A95" s="7" t="s">
        <v>70</v>
      </c>
      <c r="B95" s="7"/>
      <c r="C95" s="14">
        <f>C41</f>
        <v>22000</v>
      </c>
    </row>
    <row r="96" spans="1:3">
      <c r="A96" s="7" t="s">
        <v>71</v>
      </c>
      <c r="B96" s="7"/>
      <c r="C96" s="14">
        <f>C49</f>
        <v>89500</v>
      </c>
    </row>
    <row r="97" spans="1:5">
      <c r="A97" s="7" t="s">
        <v>72</v>
      </c>
      <c r="B97" s="7"/>
      <c r="C97" s="14">
        <f>C58</f>
        <v>69000</v>
      </c>
    </row>
    <row r="98" spans="1:5">
      <c r="A98" s="7" t="s">
        <v>73</v>
      </c>
      <c r="B98" s="7"/>
      <c r="C98" s="14">
        <f>C66</f>
        <v>500000</v>
      </c>
    </row>
    <row r="99" spans="1:5">
      <c r="A99" s="7" t="s">
        <v>74</v>
      </c>
      <c r="B99" s="7"/>
      <c r="C99" s="14">
        <f>C74</f>
        <v>52000</v>
      </c>
    </row>
    <row r="100" spans="1:5">
      <c r="A100" s="7" t="s">
        <v>75</v>
      </c>
      <c r="B100" s="7"/>
      <c r="C100" s="14">
        <f>C79</f>
        <v>40000</v>
      </c>
    </row>
    <row r="101" spans="1:5">
      <c r="A101" s="7" t="s">
        <v>76</v>
      </c>
      <c r="B101" s="7"/>
      <c r="C101" s="14">
        <f>C81</f>
        <v>5000</v>
      </c>
    </row>
    <row r="102" spans="1:5">
      <c r="A102" s="7" t="s">
        <v>77</v>
      </c>
      <c r="B102" s="7"/>
      <c r="C102" s="14">
        <f>C83</f>
        <v>10000</v>
      </c>
    </row>
    <row r="103" spans="1:5">
      <c r="A103" s="2" t="s">
        <v>78</v>
      </c>
      <c r="B103" s="7"/>
      <c r="C103" s="12">
        <f>SUM(C94:C102)</f>
        <v>918500</v>
      </c>
    </row>
    <row r="104" spans="1:5">
      <c r="A104" s="2"/>
      <c r="B104" s="7"/>
      <c r="C104" s="13"/>
    </row>
    <row r="105" spans="1:5">
      <c r="A105" s="7"/>
      <c r="B105" s="7"/>
    </row>
    <row r="106" spans="1:5">
      <c r="A106" s="19" t="s">
        <v>79</v>
      </c>
    </row>
    <row r="107" spans="1:5">
      <c r="A107" s="3"/>
    </row>
    <row r="108" spans="1:5" s="7" customFormat="1">
      <c r="A108" s="2" t="s">
        <v>80</v>
      </c>
      <c r="C108" s="20" t="s">
        <v>81</v>
      </c>
      <c r="E108" s="21" t="s">
        <v>82</v>
      </c>
    </row>
    <row r="109" spans="1:5" s="22" customFormat="1">
      <c r="A109" s="22" t="s">
        <v>83</v>
      </c>
      <c r="C109" s="23">
        <v>10000</v>
      </c>
    </row>
    <row r="110" spans="1:5" s="22" customFormat="1">
      <c r="A110" s="22" t="s">
        <v>84</v>
      </c>
      <c r="C110" s="24">
        <v>10000</v>
      </c>
    </row>
    <row r="111" spans="1:5" s="22" customFormat="1">
      <c r="A111" s="22" t="s">
        <v>84</v>
      </c>
      <c r="C111" s="24">
        <v>10000</v>
      </c>
    </row>
    <row r="112" spans="1:5" s="22" customFormat="1">
      <c r="A112" s="22" t="s">
        <v>84</v>
      </c>
      <c r="C112" s="24">
        <v>10000</v>
      </c>
    </row>
    <row r="113" spans="1:6">
      <c r="C113" s="14"/>
    </row>
    <row r="115" spans="1:6">
      <c r="A115" s="2" t="s">
        <v>85</v>
      </c>
    </row>
    <row r="116" spans="1:6">
      <c r="A116" s="5" t="s">
        <v>86</v>
      </c>
    </row>
    <row r="117" spans="1:6">
      <c r="A117" s="5" t="s">
        <v>87</v>
      </c>
    </row>
    <row r="118" spans="1:6">
      <c r="A118" s="5" t="s">
        <v>87</v>
      </c>
    </row>
    <row r="119" spans="1:6">
      <c r="A119" s="15"/>
    </row>
    <row r="121" spans="1:6">
      <c r="A121" s="2" t="s">
        <v>88</v>
      </c>
      <c r="F121" s="17"/>
    </row>
    <row r="122" spans="1:6">
      <c r="A122" s="7" t="s">
        <v>89</v>
      </c>
      <c r="F122" s="16"/>
    </row>
    <row r="123" spans="1:6">
      <c r="A123" s="5" t="s">
        <v>90</v>
      </c>
      <c r="F123" s="17"/>
    </row>
    <row r="124" spans="1:6">
      <c r="A124" s="5" t="s">
        <v>91</v>
      </c>
      <c r="F124" s="16"/>
    </row>
  </sheetData>
  <phoneticPr fontId="0" type="noConversion"/>
  <pageMargins left="0.5" right="0.25" top="0.5" bottom="0.5" header="0.25" footer="0.5"/>
  <pageSetup orientation="portrait" r:id="rId1"/>
  <headerFooter alignWithMargins="0"/>
  <rowBreaks count="1" manualBreakCount="1">
    <brk id="84"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82c7762-2472-4764-a90d-cf2e339ef83b" xsi:nil="true"/>
    <lcf76f155ced4ddcb4097134ff3c332f xmlns="1439bae4-5584-45eb-a5d7-c58d6df7af7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41AE5A750FBB545B5D64387D1A9EAD9" ma:contentTypeVersion="15" ma:contentTypeDescription="Create a new document." ma:contentTypeScope="" ma:versionID="ace115b0f8a4918be97fcd5f72a71504">
  <xsd:schema xmlns:xsd="http://www.w3.org/2001/XMLSchema" xmlns:xs="http://www.w3.org/2001/XMLSchema" xmlns:p="http://schemas.microsoft.com/office/2006/metadata/properties" xmlns:ns2="1439bae4-5584-45eb-a5d7-c58d6df7af7a" xmlns:ns3="f82c7762-2472-4764-a90d-cf2e339ef83b" targetNamespace="http://schemas.microsoft.com/office/2006/metadata/properties" ma:root="true" ma:fieldsID="423f3f858ff9c529432cd7eac806f560" ns2:_="" ns3:_="">
    <xsd:import namespace="1439bae4-5584-45eb-a5d7-c58d6df7af7a"/>
    <xsd:import namespace="f82c7762-2472-4764-a90d-cf2e339ef83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9bae4-5584-45eb-a5d7-c58d6df7af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52b408e-820a-469d-ba60-de24c1fbd8d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2c7762-2472-4764-a90d-cf2e339ef83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73f8b11-9bf2-432b-8fc3-59334d7c896a}" ma:internalName="TaxCatchAll" ma:showField="CatchAllData" ma:web="f82c7762-2472-4764-a90d-cf2e339ef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9FEE9D-69FE-4A7C-AF77-2EFB2715C3AE}"/>
</file>

<file path=customXml/itemProps2.xml><?xml version="1.0" encoding="utf-8"?>
<ds:datastoreItem xmlns:ds="http://schemas.openxmlformats.org/officeDocument/2006/customXml" ds:itemID="{D86A56E8-5EC7-449B-8CA4-80228E8CC76B}"/>
</file>

<file path=customXml/itemProps3.xml><?xml version="1.0" encoding="utf-8"?>
<ds:datastoreItem xmlns:ds="http://schemas.openxmlformats.org/officeDocument/2006/customXml" ds:itemID="{50280739-981E-461F-B1D8-264DAF356C5B}"/>
</file>

<file path=docProps/app.xml><?xml version="1.0" encoding="utf-8"?>
<Properties xmlns="http://schemas.openxmlformats.org/officeDocument/2006/extended-properties" xmlns:vt="http://schemas.openxmlformats.org/officeDocument/2006/docPropsVTypes">
  <Application>Microsoft Excel Online</Application>
  <Manager/>
  <Company>Microsoft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heather.hendy</dc:creator>
  <cp:keywords/>
  <dc:description/>
  <cp:lastModifiedBy>emmanuel.soriano</cp:lastModifiedBy>
  <cp:revision/>
  <dcterms:created xsi:type="dcterms:W3CDTF">2001-02-14T22:45:59Z</dcterms:created>
  <dcterms:modified xsi:type="dcterms:W3CDTF">2025-02-06T16:06:53Z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TC010175071033</vt:lpwstr>
  </property>
  <property fmtid="{D5CDD505-2E9C-101B-9397-08002B2CF9AE}" pid="3" name="ContentTypeId">
    <vt:lpwstr>0x010100641AE5A750FBB545B5D64387D1A9EAD9</vt:lpwstr>
  </property>
  <property fmtid="{D5CDD505-2E9C-101B-9397-08002B2CF9AE}" pid="4" name="MediaServiceImageTags">
    <vt:lpwstr/>
  </property>
</Properties>
</file>